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U2" i="1"/>
  <c r="V2" i="1" l="1"/>
  <c r="Y2" i="1" l="1"/>
</calcChain>
</file>

<file path=xl/sharedStrings.xml><?xml version="1.0" encoding="utf-8"?>
<sst xmlns="http://schemas.openxmlformats.org/spreadsheetml/2006/main" count="44" uniqueCount="43">
  <si>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</si>
  <si>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</si>
  <si>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</si>
  <si>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</si>
  <si>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</si>
  <si>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</si>
  <si>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</si>
  <si>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</si>
  <si>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</si>
  <si>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</si>
  <si>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</si>
  <si>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</si>
  <si>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</si>
  <si>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</si>
  <si>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</si>
  <si>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</si>
  <si>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</si>
  <si>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</si>
  <si>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</si>
  <si>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</si>
  <si>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</si>
  <si>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</si>
  <si>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</si>
  <si>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</si>
  <si>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</si>
  <si>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</si>
  <si>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</si>
  <si>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</si>
  <si>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</si>
  <si>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</si>
  <si>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</si>
  <si>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</si>
  <si>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</si>
  <si>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</si>
  <si>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A-POLARISED</t>
  </si>
  <si>
    <t>DATE</t>
  </si>
  <si>
    <t>INVOICE NUMBER</t>
  </si>
  <si>
    <t>ORDER NUMBER</t>
  </si>
  <si>
    <t>QUANTITY</t>
  </si>
  <si>
    <t>INV-12</t>
  </si>
  <si>
    <t>ORD-12</t>
  </si>
  <si>
    <t>EMPORIO ARMANI - P2</t>
  </si>
  <si>
    <t>EA4058 5063/82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</si>
</sst>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4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1" fillId="0" borderId="0" xfId="0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J8" sqref="J8"/>
    </sheetView>
  </sheetViews>
  <sheetFormatPr defaultColWidth="9.1796875" defaultRowHeight="14.5"/>
  <cols>
    <col min="1" max="1" width="3.453125" bestFit="1" customWidth="1"/>
    <col min="2" max="2" width="11.26953125" style="5" bestFit="1" customWidth="1"/>
    <col min="3" max="3" width="15.7265625" bestFit="1" customWidth="1"/>
    <col min="4" max="4" width="20.08984375" bestFit="1" customWidth="1"/>
    <col min="5" max="5" width="14.36328125" bestFit="1" customWidth="1"/>
    <col min="6" max="6" width="9.36328125" bestFit="1" customWidth="1"/>
    <col min="7" max="7" width="20.08984375" bestFit="1" customWidth="1"/>
    <col min="8" max="8" width="14.36328125" bestFit="1" customWidth="1"/>
    <col min="9" max="10" width="18.453125" bestFit="1" customWidth="1"/>
    <col min="11" max="11" width="10.54296875" bestFit="1" customWidth="1"/>
    <col min="12" max="12" width="18.45312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20.90625" bestFit="1" customWidth="1"/>
    <col min="17" max="17" width="18" bestFit="1" customWidth="1"/>
    <col min="18" max="18" width="19.6328125" bestFit="1" customWidth="1"/>
    <col min="19" max="19" width="13.7265625" bestFit="1" customWidth="1"/>
    <col min="20" max="20" width="12.26953125" style="3" bestFit="1" customWidth="1"/>
    <col min="21" max="21" width="20.81640625" bestFit="1" customWidth="1"/>
    <col min="22" max="22" width="19.6328125" bestFit="1" customWidth="1"/>
    <col min="23" max="23" width="13.7265625" style="3" bestFit="1" customWidth="1"/>
    <col min="24" max="24" width="17.1796875" bestFit="1" customWidth="1"/>
    <col min="25" max="25" width="20.81640625" bestFit="1" customWidth="1"/>
    <col min="26" max="26" width="9.453125" bestFit="1" customWidth="1"/>
    <col min="27" max="27" width="11.453125" bestFit="1" customWidth="1"/>
    <col min="28" max="28" width="17.1796875" bestFit="1" customWidth="1"/>
    <col min="29" max="29" width="5.81640625" bestFit="1" customWidth="1"/>
  </cols>
  <sheetData>
    <row r="1" spans="1:29" ht="21" customHeight="1">
      <c r="A1" s="2" t="s">
        <v>0</v>
      </c>
      <c r="B1" s="6" t="s">
        <v>35</v>
      </c>
      <c r="C1" s="2" t="s">
        <v>36</v>
      </c>
      <c r="D1" s="2" t="s">
        <v>37</v>
      </c>
      <c r="E1" s="2" t="s">
        <v>1</v>
      </c>
      <c r="F1" s="2" t="s">
        <v>4</v>
      </c>
      <c r="G1" s="2" t="s">
        <v>2</v>
      </c>
      <c r="H1" s="2" t="s">
        <v>3</v>
      </c>
      <c r="I1" s="2" t="s">
        <v>5</v>
      </c>
      <c r="J1" s="2" t="s">
        <v>6</v>
      </c>
      <c r="K1" s="2" t="s">
        <v>7</v>
      </c>
      <c r="L1" s="4" t="s">
        <v>24</v>
      </c>
      <c r="M1" s="2" t="s">
        <v>25</v>
      </c>
      <c r="N1" s="2" t="s">
        <v>8</v>
      </c>
      <c r="O1" s="2" t="s">
        <v>9</v>
      </c>
      <c r="P1" s="2" t="s">
        <v>10</v>
      </c>
      <c r="Q1" s="2" t="s">
        <v>13</v>
      </c>
      <c r="R1" s="2" t="s">
        <v>38</v>
      </c>
      <c r="S1" s="2" t="s">
        <v>26</v>
      </c>
      <c r="T1" s="7" t="s">
        <v>27</v>
      </c>
      <c r="U1" s="2" t="s">
        <v>28</v>
      </c>
      <c r="V1" s="2" t="s">
        <v>29</v>
      </c>
      <c r="W1" s="7" t="s">
        <v>30</v>
      </c>
      <c r="X1" s="2" t="s">
        <v>31</v>
      </c>
      <c r="Y1" s="2" t="s">
        <v>32</v>
      </c>
      <c r="Z1" s="2" t="s">
        <v>11</v>
      </c>
      <c r="AA1" s="2" t="s">
        <v>33</v>
      </c>
      <c r="AB1" s="2" t="s">
        <v>14</v>
      </c>
      <c r="AC1" s="2" t="s">
        <v>12</v>
      </c>
    </row>
    <row r="2" spans="1:29">
      <c r="A2">
        <v>1</v>
      </c>
      <c r="B2" s="5">
        <v>46224</v>
      </c>
      <c r="C2" t="s">
        <v>39</v>
      </c>
      <c r="D2" t="s">
        <v>40</v>
      </c>
      <c r="E2" s="1" t="s">
        <v>15</v>
      </c>
      <c r="F2" s="1">
        <v>127955</v>
      </c>
      <c r="G2" s="8" t="s">
        <v>41</v>
      </c>
      <c r="H2" s="8" t="s">
        <v>42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19</v>
      </c>
      <c r="N2" s="1" t="s">
        <v>20</v>
      </c>
      <c r="O2" s="1">
        <v>58</v>
      </c>
      <c r="P2" s="1" t="s">
        <v>21</v>
      </c>
      <c r="Q2" s="1" t="s">
        <v>34</v>
      </c>
      <c r="R2">
        <v>2</v>
      </c>
      <c r="S2">
        <v>22000</v>
      </c>
      <c r="T2" s="3">
        <v>0.25</v>
      </c>
      <c r="U2">
        <f>S2*T2</f>
        <v>5500</v>
      </c>
      <c r="V2">
        <f>S2-U2</f>
        <v>16500</v>
      </c>
      <c r="W2" s="3">
        <v>0.05</v>
      </c>
      <c r="X2">
        <f>V2*W2</f>
        <v>825</v>
      </c>
      <c r="Y2">
        <f>V2+X2</f>
        <v>17325</v>
      </c>
      <c r="Z2">
        <v>55103090</v>
      </c>
      <c r="AA2" s="1" t="s">
        <v>22</v>
      </c>
      <c r="AB2" s="1" t="s">
        <v>23</v>
      </c>
      <c r="AC2">
        <v>22000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W1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2026-07-21T12:52:30Z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