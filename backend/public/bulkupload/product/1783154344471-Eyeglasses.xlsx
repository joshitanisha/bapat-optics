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D:\E-Forum\Source\BapatOptics\bapat-optics-backend\public\sample\"/>
    </mc:Choice>
  </mc:AlternateContent>
  <bookViews>
    <workbookView xWindow="0" yWindow="0" windowWidth="28800" windowHeight="12180"/>
  </bookViews>
  <sheets>
    <sheet name="Sheet1" sheetId="1" r:id="rId1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2" i="1" l="1"/>
  <c r="Q2" i="1" s="1"/>
</calcChain>
</file>

<file path=xl/sharedStrings.xml><?xml version="1.0" encoding="utf-8"?>
<sst xmlns="http://schemas.openxmlformats.org/spreadsheetml/2006/main" count="32" uniqueCount="32">
  <si>
    <t>NO</t>
  </si>
  <si>
    <t>CATEGORY</t>
  </si>
  <si>
    <t>BRAND NAME</t>
  </si>
  <si>
    <t xml:space="preserve">MODEL NO </t>
  </si>
  <si>
    <t>BARCODE</t>
  </si>
  <si>
    <t>MATERIAL</t>
  </si>
  <si>
    <t>FRAME TYPE</t>
  </si>
  <si>
    <t>GENDER</t>
  </si>
  <si>
    <t>COLOR</t>
  </si>
  <si>
    <t>SHAPE</t>
  </si>
  <si>
    <t>SIZE</t>
  </si>
  <si>
    <t>TOTAL MEASUREMENTS</t>
  </si>
  <si>
    <t>HSN CODE</t>
  </si>
  <si>
    <t>MRP</t>
  </si>
  <si>
    <t>DESCRIPTION</t>
  </si>
  <si>
    <t>GST NUMBER</t>
  </si>
  <si>
    <t>Eyeglasses</t>
  </si>
  <si>
    <t>plastic</t>
  </si>
  <si>
    <t>full frame</t>
  </si>
  <si>
    <t>Female</t>
  </si>
  <si>
    <t>Red</t>
  </si>
  <si>
    <t>Round</t>
  </si>
  <si>
    <t>23-34</t>
  </si>
  <si>
    <t>fff</t>
  </si>
  <si>
    <t>Pratik Mohol</t>
  </si>
  <si>
    <t>27AAAAP0267H2ZN</t>
  </si>
  <si>
    <t>BASE Purchase Price</t>
  </si>
  <si>
    <t>GST Percentage</t>
  </si>
  <si>
    <t>GST amount</t>
  </si>
  <si>
    <t>SUPPLIER</t>
  </si>
  <si>
    <t>Total purchase price</t>
  </si>
  <si>
    <t>XYZ-AAA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</si>
</sst>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0061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2">
    <xf numFmtId="0" fontId="0" fillId="0" borderId="0">
      <alignment vertical="center"/>
    </xf>
    <xf numFmtId="0" fontId="3" fillId="2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2" fillId="2" borderId="1" xfId="1" applyFont="1" applyFill="1" applyBorder="1" applyAlignment="1" applyProtection="1">
      <alignment horizontal="center"/>
      <protection locked="0"/>
    </xf>
    <xf numFmtId="0" fontId="2" fillId="0" borderId="1" xfId="1" applyFont="1" applyFill="1" applyBorder="1" applyAlignment="1" applyProtection="1">
      <alignment horizontal="center"/>
      <protection locked="0"/>
    </xf>
    <xf numFmtId="0" fontId="0" fillId="0" borderId="0" xfId="0" applyFill="1" applyAlignment="1" applyProtection="1">
      <protection locked="0"/>
    </xf>
    <xf numFmtId="0" fontId="2" fillId="2" borderId="2" xfId="1" applyFont="1" applyFill="1" applyBorder="1" applyAlignment="1" applyProtection="1">
      <alignment horizontal="center"/>
      <protection locked="0"/>
    </xf>
    <xf numFmtId="0" fontId="0" fillId="0" borderId="0" xfId="0" applyProtection="1">
      <alignment vertical="center"/>
      <protection locked="0"/>
    </xf>
    <xf numFmtId="0" fontId="0" fillId="0" borderId="0" xfId="0" applyFill="1" applyProtection="1">
      <alignment vertical="center"/>
      <protection locked="0"/>
    </xf>
    <xf numFmtId="9" fontId="0" fillId="0" borderId="0" xfId="0" applyNumberFormat="1" applyFill="1" applyAlignment="1" applyProtection="1">
      <protection locked="0"/>
    </xf>
    <xf numFmtId="0" fontId="2" fillId="2" borderId="0" xfId="1" applyFont="1" applyFill="1" applyBorder="1" applyAlignment="1" applyProtection="1">
      <alignment horizontal="center"/>
    </xf>
    <xf numFmtId="0" fontId="0" fillId="0" borderId="0" xfId="0" applyFill="1" applyAlignment="1" applyProtection="1"/>
    <xf numFmtId="0" fontId="0" fillId="0" borderId="0" xfId="0" applyProtection="1">
      <alignment vertical="center"/>
    </xf>
    <xf numFmtId="0" fontId="1" fillId="0" borderId="0" xfId="0" applyFont="1" applyProtection="1">
      <alignment vertical="center"/>
      <protection locked="0"/>
    </xf>
  </cellXfs>
  <cellStyles count="2">
    <cellStyle name="Good" xfId="1" builtinId="26"/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"/>
  <sheetViews>
    <sheetView tabSelected="1" workbookViewId="0">
      <selection activeCell="H7" sqref="H7"/>
    </sheetView>
  </sheetViews>
  <sheetFormatPr defaultColWidth="9.1796875" defaultRowHeight="14.5"/>
  <cols>
    <col min="1" max="1" width="3.453125" style="5" bestFit="1" customWidth="1"/>
    <col min="2" max="2" width="12.54296875" style="5" bestFit="1" customWidth="1"/>
    <col min="3" max="3" width="12.36328125" style="5" bestFit="1" customWidth="1"/>
    <col min="4" max="4" width="15.81640625" style="5" bestFit="1" customWidth="1"/>
    <col min="5" max="5" width="8.90625" style="5" bestFit="1" customWidth="1"/>
    <col min="6" max="6" width="10.26953125" style="5" bestFit="1" customWidth="1"/>
    <col min="7" max="7" width="13.08984375" style="5" bestFit="1" customWidth="1"/>
    <col min="8" max="8" width="9.1796875" style="5" bestFit="1" customWidth="1"/>
    <col min="9" max="9" width="6.54296875" style="5" bestFit="1" customWidth="1"/>
    <col min="10" max="10" width="14.90625" style="5" bestFit="1" customWidth="1"/>
    <col min="11" max="11" width="4.1796875" style="5" bestFit="1" customWidth="1"/>
    <col min="12" max="12" width="20.90625" style="6" bestFit="1" customWidth="1"/>
    <col min="13" max="13" width="11.90625" style="5" bestFit="1" customWidth="1"/>
    <col min="14" max="14" width="17.6328125" style="5" bestFit="1" customWidth="1"/>
    <col min="15" max="15" width="13.7265625" style="5" bestFit="1" customWidth="1"/>
    <col min="16" max="16" width="11" style="10" bestFit="1" customWidth="1"/>
    <col min="17" max="17" width="17.81640625" style="10" bestFit="1" customWidth="1"/>
    <col min="18" max="18" width="9.453125" style="5" bestFit="1" customWidth="1"/>
    <col min="19" max="19" width="11.453125" style="5" bestFit="1" customWidth="1"/>
    <col min="20" max="20" width="17.1796875" style="5" bestFit="1" customWidth="1"/>
    <col min="21" max="21" width="4.81640625" style="5" bestFit="1" customWidth="1"/>
    <col min="22" max="22" width="9.54296875" style="5"/>
    <col min="23" max="16384" width="9.1796875" style="5"/>
  </cols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1" t="s">
        <v>14</v>
      </c>
      <c r="N1" s="3" t="s">
        <v>26</v>
      </c>
      <c r="O1" s="4" t="s">
        <v>27</v>
      </c>
      <c r="P1" s="8" t="s">
        <v>28</v>
      </c>
      <c r="Q1" s="8" t="s">
        <v>30</v>
      </c>
      <c r="R1" s="3" t="s">
        <v>12</v>
      </c>
      <c r="S1" s="3" t="s">
        <v>29</v>
      </c>
      <c r="T1" s="3" t="s">
        <v>15</v>
      </c>
      <c r="U1" s="1" t="s">
        <v>13</v>
      </c>
    </row>
    <row r="2" spans="1:21">
      <c r="A2" s="5">
        <v>1</v>
      </c>
      <c r="B2" s="5" t="s">
        <v>16</v>
      </c>
      <c r="C2" s="11" t="s">
        <v>31</v>
      </c>
      <c r="D2" s="5">
        <v>3333</v>
      </c>
      <c r="E2" s="5">
        <v>3232</v>
      </c>
      <c r="F2" s="5" t="s">
        <v>17</v>
      </c>
      <c r="G2" s="5" t="s">
        <v>18</v>
      </c>
      <c r="H2" s="5" t="s">
        <v>19</v>
      </c>
      <c r="I2" s="5" t="s">
        <v>20</v>
      </c>
      <c r="J2" s="5" t="s">
        <v>21</v>
      </c>
      <c r="K2" s="5">
        <v>44</v>
      </c>
      <c r="L2" s="6" t="s">
        <v>22</v>
      </c>
      <c r="M2" s="5" t="s">
        <v>23</v>
      </c>
      <c r="N2" s="3">
        <v>18000</v>
      </c>
      <c r="O2" s="7">
        <v>0.05</v>
      </c>
      <c r="P2" s="9">
        <f>N2*O2</f>
        <v>900</v>
      </c>
      <c r="Q2" s="9">
        <f>N2+P2</f>
        <v>18900</v>
      </c>
      <c r="R2" s="5">
        <v>55103090</v>
      </c>
      <c r="S2" s="3" t="s">
        <v>24</v>
      </c>
      <c r="T2" s="3" t="s">
        <v>25</v>
      </c>
      <c r="U2" s="5">
        <v>2000</v>
      </c>
    </row>
  </sheetData>
  <sheetProtection sheet="1" objects="1" scenarios="1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Profcyma08</dc:creator>
  <cp:lastModifiedBy>DELL</cp:lastModifiedBy>
  <dcterms:created xsi:type="dcterms:W3CDTF">2025-10-28T09:59:00Z</dcterms:created>
  <dcterms:modified xsi:type="dcterms:W3CDTF">2026-07-04T08:39:00Z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ABCC158690BF40C2B7268774612696B7_11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