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apatoptics-Photo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R2" i="1" s="1"/>
  <c r="T2" i="1" l="1"/>
  <c r="U2" i="1" s="1"/>
</calcChain>
</file>

<file path=xl/sharedStrings.xml><?xml version="1.0" encoding="utf-8"?>
<sst xmlns="http://schemas.openxmlformats.org/spreadsheetml/2006/main" count="38" uniqueCount="37">
  <si>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</si>
  <si>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</si>
  <si>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</si>
  <si>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</si>
  <si>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</si>
  <si>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</si>
  <si>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</si>
  <si>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</si>
  <si>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SHAPE</t>
  </si>
  <si>
    <t>SIZE</t>
  </si>
  <si>
    <t>TOTAL MEASUREMENTS</t>
  </si>
  <si>
    <t>HSN CODE</t>
  </si>
  <si>
    <t>MRP</t>
  </si>
  <si>
    <t>DESCRIPTION</t>
  </si>
  <si>
    <t>GST NUMBER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</si>
  <si>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</si>
  <si>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</si>
  <si>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</si>
  <si>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</si>
  <si>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</si>
  <si>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</si>
  <si>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</si>
  <si>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</si>
  <si>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</si>
  <si>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Pratik Mohol</t>
  </si>
  <si>
    <t>27AAAAP0267H2ZN</t>
  </si>
  <si>
    <t>FRAME COLOR</t>
  </si>
  <si>
    <t>LENS COLOR</t>
  </si>
  <si>
    <t>WLP</t>
  </si>
  <si>
    <t>DISCOUNT %</t>
  </si>
  <si>
    <t>DISCOUNT AMOUNT</t>
  </si>
  <si>
    <t>BASE PURCHASE PRICE</t>
  </si>
  <si>
    <t>GST Percentage</t>
  </si>
  <si>
    <t>GST AMOUNT</t>
  </si>
  <si>
    <t>TOTAL PURCHASE PRICE</t>
  </si>
  <si>
    <t>SUPPLIER</t>
  </si>
  <si>
    <t>A-POLARISED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</si>
</sst>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tabSelected="1" topLeftCell="D1" workbookViewId="0">
      <selection activeCell="M13" sqref="M13"/>
    </sheetView>
  </sheetViews>
  <sheetFormatPr defaultColWidth="9.1796875" defaultRowHeight="14.5"/>
  <cols>
    <col min="1" max="1" width="3.453125" bestFit="1" customWidth="1"/>
    <col min="2" max="2" width="11.26953125" bestFit="1" customWidth="1"/>
    <col min="3" max="3" width="8.90625" bestFit="1" customWidth="1"/>
    <col min="4" max="4" width="16.453125" bestFit="1" customWidth="1"/>
    <col min="5" max="5" width="8.90625" bestFit="1" customWidth="1"/>
    <col min="6" max="6" width="9.36328125" bestFit="1" customWidth="1"/>
    <col min="7" max="7" width="11.1796875" bestFit="1" customWidth="1"/>
    <col min="8" max="8" width="7.7265625" bestFit="1" customWidth="1"/>
    <col min="9" max="10" width="18.453125" bestFit="1" customWidth="1"/>
    <col min="11" max="11" width="10.54296875" bestFit="1" customWidth="1"/>
    <col min="12" max="12" width="4.1796875" bestFit="1" customWidth="1"/>
    <col min="13" max="13" width="20.90625" bestFit="1" customWidth="1"/>
    <col min="14" max="14" width="11.90625" bestFit="1" customWidth="1"/>
    <col min="15" max="15" width="5.81640625" bestFit="1" customWidth="1"/>
    <col min="16" max="16" width="11.90625" bestFit="1" customWidth="1"/>
    <col min="17" max="17" width="14.1796875" bestFit="1" customWidth="1"/>
    <col min="18" max="18" width="17.1796875" bestFit="1" customWidth="1"/>
    <col min="19" max="19" width="12.90625" bestFit="1" customWidth="1"/>
    <col min="23" max="23" width="11.453125" bestFit="1" customWidth="1"/>
    <col min="24" max="24" width="17.1796875" bestFit="1" customWidth="1"/>
  </cols>
  <sheetData>
    <row r="1" spans="1:32" ht="21" customHeight="1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7</v>
      </c>
      <c r="I1" s="3" t="s">
        <v>26</v>
      </c>
      <c r="J1" s="2" t="s">
        <v>27</v>
      </c>
      <c r="K1" s="2" t="s">
        <v>8</v>
      </c>
      <c r="L1" s="2" t="s">
        <v>9</v>
      </c>
      <c r="M1" s="2" t="s">
        <v>10</v>
      </c>
      <c r="N1" s="2" t="s">
        <v>13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11</v>
      </c>
      <c r="W1" s="2" t="s">
        <v>35</v>
      </c>
      <c r="X1" s="2" t="s">
        <v>14</v>
      </c>
      <c r="Y1" s="2" t="s">
        <v>12</v>
      </c>
      <c r="Z1" s="4"/>
      <c r="AA1" s="4"/>
      <c r="AB1" s="4"/>
      <c r="AC1" s="4"/>
      <c r="AD1" s="4"/>
      <c r="AE1" s="4"/>
      <c r="AF1" s="4"/>
    </row>
    <row r="2" spans="1:32">
      <c r="A2" s="1">
        <v>1</v>
      </c>
      <c r="B2" s="1" t="s">
        <v>15</v>
      </c>
      <c r="C2" s="1">
        <v>127955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21</v>
      </c>
      <c r="K2" s="1" t="s">
        <v>22</v>
      </c>
      <c r="L2" s="1">
        <v>58</v>
      </c>
      <c r="M2" s="1" t="s">
        <v>23</v>
      </c>
      <c r="N2" s="1" t="s">
        <v>36</v>
      </c>
      <c r="O2">
        <v>20000</v>
      </c>
      <c r="P2" s="5">
        <v>0.25</v>
      </c>
      <c r="Q2">
        <f>O2*P2</f>
        <v>5000</v>
      </c>
      <c r="R2">
        <f>O2-Q2</f>
        <v>15000</v>
      </c>
      <c r="S2" s="6">
        <v>0.05</v>
      </c>
      <c r="T2">
        <f>R2*S2</f>
        <v>750</v>
      </c>
      <c r="U2">
        <f>R2+T2</f>
        <v>15750</v>
      </c>
      <c r="V2">
        <v>55103090</v>
      </c>
      <c r="W2" s="1" t="s">
        <v>24</v>
      </c>
      <c r="X2" s="1" t="s">
        <v>25</v>
      </c>
      <c r="Y2">
        <v>18000</v>
      </c>
    </row>
  </sheetData>
  <dataValidations count="1">
    <dataValidation type="decimal" operator="lessThan" allowBlank="1" showInputMessage="1" showErrorMessage="1" errorTitle="Invalid Number" error="Please enter a number less than 100." promptTitle="GST Percentage" prompt="Please enter a number less than 100" sqref="S1">
      <formula1>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DELL</cp:lastModifiedBy>
  <dcterms:created xsi:type="dcterms:W3CDTF">2025-12-31T07:37:00Z</dcterms:created>
  <dcterms:modified xsi:type="dcterms:W3CDTF">2026-07-17T09:22:00Z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