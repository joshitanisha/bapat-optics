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 s="1"/>
  <c r="T2" i="1" l="1"/>
  <c r="U2" i="1" s="1"/>
</calcChain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<sst xmlns="http://schemas.openxmlformats.org/spreadsheetml/2006/main" count="38" uniqueCount="37">
  <si>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</si>
  <si>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</si>
  <si>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</si>
  <si>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</si>
  <si>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</si>
  <si>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</si>
  <si>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</si>
  <si>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</si>
  <si>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</si>
  <si>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</si>
  <si>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</si>
  <si>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</si>
  <si>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</si>
  <si>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</si>
  <si>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</si>
  <si>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</si>
  <si>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</si>
  <si>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</si>
  <si>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</si>
  <si>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</si>
  <si>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</si>
  <si>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</si>
  <si>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</si>
  <si>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</si>
  <si>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</si>
  <si>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</si>
  <si>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</si>
  <si>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</si>
  <si>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</si>
  <si>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</si>
  <si>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</si>
  <si>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</si>
  <si>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</si>
  <si>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</si>
  <si>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</si>
  <si>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</si>
  <si>
    <t>EMPORIO ARMANI -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</si>
</sst>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K1" workbookViewId="0">
      <selection activeCell="Z8" sqref="Z8"/>
    </sheetView>
  </sheetViews>
  <sheetFormatPr defaultColWidth="9.1796875" defaultRowHeight="14.5"/>
  <cols>
    <col min="1" max="1" width="3.453125" bestFit="1" customWidth="1"/>
    <col min="2" max="2" width="11.26953125" bestFit="1" customWidth="1"/>
    <col min="3" max="3" width="8.90625" bestFit="1" customWidth="1"/>
    <col min="4" max="4" width="20.08984375" bestFit="1" customWidth="1"/>
    <col min="5" max="5" width="8.90625" bestFit="1" customWidth="1"/>
    <col min="6" max="6" width="9.36328125" bestFit="1" customWidth="1"/>
    <col min="7" max="7" width="11.1796875" bestFit="1" customWidth="1"/>
    <col min="8" max="8" width="7.7265625" bestFit="1" customWidth="1"/>
    <col min="9" max="10" width="18.453125" bestFit="1" customWidth="1"/>
    <col min="11" max="11" width="10.54296875" bestFit="1" customWidth="1"/>
    <col min="12" max="12" width="4.179687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11.90625" bestFit="1" customWidth="1"/>
    <col min="17" max="17" width="14.1796875" bestFit="1" customWidth="1"/>
    <col min="18" max="18" width="17.1796875" bestFit="1" customWidth="1"/>
    <col min="19" max="19" width="12.90625" bestFit="1" customWidth="1"/>
    <col min="23" max="23" width="11.453125" bestFit="1" customWidth="1"/>
    <col min="24" max="24" width="17.1796875" bestFit="1" customWidth="1"/>
  </cols>
  <sheetData>
    <row r="1" spans="1:25" ht="21" customHeight="1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3" t="s">
        <v>25</v>
      </c>
      <c r="J1" s="2" t="s">
        <v>26</v>
      </c>
      <c r="K1" s="2" t="s">
        <v>8</v>
      </c>
      <c r="L1" s="2" t="s">
        <v>9</v>
      </c>
      <c r="M1" s="2" t="s">
        <v>10</v>
      </c>
      <c r="N1" s="2" t="s">
        <v>13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11</v>
      </c>
      <c r="W1" s="2" t="s">
        <v>34</v>
      </c>
      <c r="X1" s="2" t="s">
        <v>14</v>
      </c>
      <c r="Y1" s="2" t="s">
        <v>12</v>
      </c>
    </row>
    <row r="2" spans="1:25">
      <c r="A2" s="1">
        <v>1</v>
      </c>
      <c r="B2" s="1" t="s">
        <v>15</v>
      </c>
      <c r="C2" s="1">
        <v>127955</v>
      </c>
      <c r="D2" s="1" t="s">
        <v>36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>
        <v>58</v>
      </c>
      <c r="M2" s="1" t="s">
        <v>22</v>
      </c>
      <c r="N2" s="1" t="s">
        <v>35</v>
      </c>
      <c r="O2">
        <v>22000</v>
      </c>
      <c r="P2" s="4">
        <v>0.25</v>
      </c>
      <c r="Q2">
        <f>O2*P2</f>
        <v>5500</v>
      </c>
      <c r="R2">
        <f>O2-Q2</f>
        <v>16500</v>
      </c>
      <c r="S2" s="5">
        <v>0.05</v>
      </c>
      <c r="T2">
        <f>R2*S2</f>
        <v>825</v>
      </c>
      <c r="U2">
        <f>R2+T2</f>
        <v>17325</v>
      </c>
      <c r="V2">
        <v>55103090</v>
      </c>
      <c r="W2" s="1" t="s">
        <v>23</v>
      </c>
      <c r="X2" s="1" t="s">
        <v>24</v>
      </c>
      <c r="Y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S1">
      <formula1>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2026-07-17T11:30:01Z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